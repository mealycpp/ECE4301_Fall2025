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<sst xmlns="http://schemas.openxmlformats.org/spreadsheetml/2006/main" count="48" uniqueCount="28">
  <si>
    <t>SHA-1</t>
  </si>
  <si>
    <t>SHA-1 message size (MB)</t>
  </si>
  <si>
    <t>Baseline [kB/s]</t>
  </si>
  <si>
    <t>Baseline [MB/s]</t>
  </si>
  <si>
    <t>Rust soft [MB/s]</t>
  </si>
  <si>
    <t>Rust accel [MB/s]</t>
  </si>
  <si>
    <t>SHA-256</t>
  </si>
  <si>
    <t>SHA-256 message digest size [MB]</t>
  </si>
  <si>
    <t>Baseline s</t>
  </si>
  <si>
    <t>Rust soft ms</t>
  </si>
  <si>
    <t>Rust accel ms</t>
  </si>
  <si>
    <t>Baseline ms</t>
  </si>
  <si>
    <t>SHA-1 (160)</t>
  </si>
  <si>
    <t>img 1 hw</t>
  </si>
  <si>
    <t>img 1 sw</t>
  </si>
  <si>
    <t>img 2 hw</t>
  </si>
  <si>
    <t>img 2 sw</t>
  </si>
  <si>
    <t>img 3 hw</t>
  </si>
  <si>
    <t>img 3 sw</t>
  </si>
  <si>
    <t>img 4 hw</t>
  </si>
  <si>
    <t>img 4 sw</t>
  </si>
  <si>
    <t>img 5 hw</t>
  </si>
  <si>
    <t>img 5 sw</t>
  </si>
  <si>
    <t>sw avg, 160</t>
  </si>
  <si>
    <t>hw avg, 160</t>
  </si>
  <si>
    <t>Time [ms]</t>
  </si>
  <si>
    <t>sw avg, 256</t>
  </si>
  <si>
    <t>hw avg, 256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</si>
</sst>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9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15" fontId="1" numFmtId="0" xfId="0" applyFill="1" applyFont="1"/>
    <xf borderId="0" fillId="16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SHA-1 Throughput vs Message Size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Sheet1!$B$2:$B$5</c:f>
            </c:strRef>
          </c:cat>
          <c:val>
            <c:numRef>
              <c:f>Sheet1!$D$2:$D$5</c:f>
              <c:numCache/>
            </c:numRef>
          </c:val>
          <c:smooth val="0"/>
        </c:ser>
        <c:ser>
          <c:idx val="1"/>
          <c:order val="1"/>
          <c:tx>
            <c:strRef>
              <c:f>Sheet1!$E$1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Sheet1!$B$2:$B$5</c:f>
            </c:strRef>
          </c:cat>
          <c:val>
            <c:numRef>
              <c:f>Sheet1!$E$2:$E$5</c:f>
              <c:numCache/>
            </c:numRef>
          </c:val>
          <c:smooth val="0"/>
        </c:ser>
        <c:ser>
          <c:idx val="2"/>
          <c:order val="2"/>
          <c:tx>
            <c:strRef>
              <c:f>Sheet1!$F$1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Sheet1!$B$2:$B$5</c:f>
            </c:strRef>
          </c:cat>
          <c:val>
            <c:numRef>
              <c:f>Sheet1!$F$2:$F$5</c:f>
              <c:numCache/>
            </c:numRef>
          </c:val>
          <c:smooth val="0"/>
        </c:ser>
        <c:axId val="1563170717"/>
        <c:axId val="1735324815"/>
      </c:lineChart>
      <c:catAx>
        <c:axId val="1563170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SHA-1 Message size [MB]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324815"/>
      </c:catAx>
      <c:valAx>
        <c:axId val="1735324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Throughput [MB/s]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3170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SHA-256 Throughput vs Message Size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Sheet1!$I$2:$I$5</c:f>
            </c:strRef>
          </c:cat>
          <c:val>
            <c:numRef>
              <c:f>Sheet1!$K$2:$K$5</c:f>
              <c:numCache/>
            </c:numRef>
          </c:val>
          <c:smooth val="0"/>
        </c:ser>
        <c:ser>
          <c:idx val="1"/>
          <c:order val="1"/>
          <c:tx>
            <c:strRef>
              <c:f>Sheet1!$L$1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Sheet1!$I$2:$I$5</c:f>
            </c:strRef>
          </c:cat>
          <c:val>
            <c:numRef>
              <c:f>Sheet1!$L$2:$L$5</c:f>
              <c:numCache/>
            </c:numRef>
          </c:val>
          <c:smooth val="0"/>
        </c:ser>
        <c:ser>
          <c:idx val="2"/>
          <c:order val="2"/>
          <c:tx>
            <c:strRef>
              <c:f>Sheet1!$M$1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Sheet1!$I$2:$I$5</c:f>
            </c:strRef>
          </c:cat>
          <c:val>
            <c:numRef>
              <c:f>Sheet1!$M$2:$M$5</c:f>
              <c:numCache/>
            </c:numRef>
          </c:val>
          <c:smooth val="0"/>
        </c:ser>
        <c:axId val="2022158044"/>
        <c:axId val="1606884906"/>
      </c:lineChart>
      <c:catAx>
        <c:axId val="20221580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SHA-256 Message size [MB]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6884906"/>
      </c:catAx>
      <c:valAx>
        <c:axId val="16068849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Throughput [MB/s]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1580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16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866775</xdr:colOff>
      <xdr:row>15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2</v>
      </c>
      <c r="K1" s="1" t="s">
        <v>3</v>
      </c>
      <c r="L1" s="1" t="s">
        <v>4</v>
      </c>
      <c r="M1" s="1" t="s">
        <v>5</v>
      </c>
    </row>
    <row r="2">
      <c r="A2" s="1">
        <v>1024.0</v>
      </c>
      <c r="B2" s="1">
        <f t="shared" ref="B2:B5" si="1">A2/1024</f>
        <v>1</v>
      </c>
      <c r="C2" s="1">
        <v>1038084.78</v>
      </c>
      <c r="D2" s="2">
        <f t="shared" ref="D2:D5" si="2">C2/1000</f>
        <v>1038.08478</v>
      </c>
      <c r="E2" s="1">
        <v>354.21</v>
      </c>
      <c r="F2" s="1">
        <v>677.65</v>
      </c>
      <c r="H2" s="1">
        <v>1024.0</v>
      </c>
      <c r="I2" s="1">
        <f t="shared" ref="I2:I5" si="3">H2/1024</f>
        <v>1</v>
      </c>
      <c r="J2" s="1">
        <v>1056627.93</v>
      </c>
      <c r="K2" s="2">
        <f t="shared" ref="K2:K5" si="4">J2/1000</f>
        <v>1056.62793</v>
      </c>
      <c r="L2" s="1">
        <v>204.79</v>
      </c>
      <c r="M2" s="1">
        <v>670.9</v>
      </c>
    </row>
    <row r="3">
      <c r="A3" s="1">
        <v>8192.0</v>
      </c>
      <c r="B3" s="1">
        <f t="shared" si="1"/>
        <v>8</v>
      </c>
      <c r="C3" s="1">
        <v>1401662.12</v>
      </c>
      <c r="D3" s="2">
        <f t="shared" si="2"/>
        <v>1401.66212</v>
      </c>
      <c r="E3" s="1">
        <v>438.31</v>
      </c>
      <c r="F3" s="1">
        <v>781.99</v>
      </c>
      <c r="H3" s="1">
        <v>8192.0</v>
      </c>
      <c r="I3" s="1">
        <f t="shared" si="3"/>
        <v>8</v>
      </c>
      <c r="J3" s="1">
        <v>1459036.3</v>
      </c>
      <c r="K3" s="2">
        <f t="shared" si="4"/>
        <v>1459.0363</v>
      </c>
      <c r="L3" s="1">
        <v>228.64</v>
      </c>
      <c r="M3" s="1">
        <v>775.06</v>
      </c>
    </row>
    <row r="4">
      <c r="A4" s="1">
        <v>65536.0</v>
      </c>
      <c r="B4" s="1">
        <f t="shared" si="1"/>
        <v>64</v>
      </c>
      <c r="C4" s="1">
        <v>1464511.15</v>
      </c>
      <c r="D4" s="2">
        <f t="shared" si="2"/>
        <v>1464.51115</v>
      </c>
      <c r="E4" s="1">
        <v>142.22</v>
      </c>
      <c r="F4" s="1">
        <v>793.28</v>
      </c>
      <c r="H4" s="1">
        <v>65536.0</v>
      </c>
      <c r="I4" s="1">
        <f t="shared" si="3"/>
        <v>64</v>
      </c>
      <c r="J4" s="1">
        <v>1522510.51</v>
      </c>
      <c r="K4" s="2">
        <f t="shared" si="4"/>
        <v>1522.51051</v>
      </c>
      <c r="L4" s="1">
        <v>224.88</v>
      </c>
      <c r="M4" s="1">
        <v>787.54</v>
      </c>
    </row>
    <row r="5">
      <c r="A5" s="1">
        <v>1048576.0</v>
      </c>
      <c r="B5" s="1">
        <f t="shared" si="1"/>
        <v>1024</v>
      </c>
      <c r="C5" s="1">
        <v>1474996.91</v>
      </c>
      <c r="D5" s="2">
        <f t="shared" si="2"/>
        <v>1474.99691</v>
      </c>
      <c r="E5" s="1">
        <v>398.99</v>
      </c>
      <c r="F5" s="1">
        <v>786.67</v>
      </c>
      <c r="H5" s="1">
        <v>1048576.0</v>
      </c>
      <c r="I5" s="1">
        <f t="shared" si="3"/>
        <v>1024</v>
      </c>
      <c r="J5" s="1">
        <v>1531620.01</v>
      </c>
      <c r="K5" s="2">
        <f t="shared" si="4"/>
        <v>1531.62001</v>
      </c>
      <c r="L5" s="1">
        <v>228.64</v>
      </c>
      <c r="M5" s="1">
        <v>782.55</v>
      </c>
    </row>
    <row r="7">
      <c r="B7" s="1"/>
      <c r="C7" s="1" t="s">
        <v>0</v>
      </c>
      <c r="D7" s="1" t="s">
        <v>8</v>
      </c>
      <c r="E7" s="1" t="s">
        <v>9</v>
      </c>
      <c r="F7" s="1" t="s">
        <v>10</v>
      </c>
      <c r="I7" s="1"/>
      <c r="J7" s="1" t="s">
        <v>6</v>
      </c>
      <c r="K7" s="1" t="s">
        <v>11</v>
      </c>
      <c r="L7" s="1" t="s">
        <v>9</v>
      </c>
      <c r="M7" s="1" t="s">
        <v>10</v>
      </c>
    </row>
    <row r="8">
      <c r="C8" s="1">
        <v>1024.0</v>
      </c>
      <c r="D8" s="1">
        <v>3.0</v>
      </c>
      <c r="E8" s="1">
        <v>0.003</v>
      </c>
      <c r="F8" s="1">
        <v>0.001</v>
      </c>
      <c r="J8" s="1">
        <v>1024.0</v>
      </c>
      <c r="K8" s="1">
        <v>2.99</v>
      </c>
      <c r="L8" s="1">
        <v>0.005</v>
      </c>
      <c r="M8" s="1">
        <v>0.001</v>
      </c>
    </row>
    <row r="9">
      <c r="C9" s="1">
        <v>8192.0</v>
      </c>
      <c r="D9" s="1">
        <v>3.0</v>
      </c>
      <c r="E9" s="1">
        <v>0.018</v>
      </c>
      <c r="F9" s="1">
        <v>0.01</v>
      </c>
      <c r="J9" s="1">
        <v>8192.0</v>
      </c>
      <c r="K9" s="1">
        <v>2.99</v>
      </c>
      <c r="L9" s="1">
        <v>0.034</v>
      </c>
      <c r="M9" s="1">
        <v>0.01</v>
      </c>
    </row>
    <row r="10">
      <c r="C10" s="1">
        <v>65536.0</v>
      </c>
      <c r="D10" s="1">
        <v>3.0</v>
      </c>
      <c r="E10" s="1">
        <v>0.439</v>
      </c>
      <c r="F10" s="1">
        <v>0.079</v>
      </c>
      <c r="J10" s="1">
        <v>65536.0</v>
      </c>
      <c r="K10" s="1">
        <v>3.0</v>
      </c>
      <c r="L10" s="1">
        <v>0.278</v>
      </c>
      <c r="M10" s="1">
        <v>0.079</v>
      </c>
    </row>
    <row r="11">
      <c r="C11" s="1">
        <v>1048576.0</v>
      </c>
      <c r="D11" s="1">
        <v>3.0</v>
      </c>
      <c r="E11" s="1">
        <v>2.506</v>
      </c>
      <c r="F11" s="1">
        <v>1.271</v>
      </c>
      <c r="J11" s="1">
        <v>1048576.0</v>
      </c>
      <c r="K11" s="1">
        <v>3.0</v>
      </c>
      <c r="L11" s="1">
        <v>4.374</v>
      </c>
      <c r="M11" s="1">
        <v>1.278</v>
      </c>
    </row>
    <row r="36">
      <c r="A36" s="3" t="s">
        <v>12</v>
      </c>
      <c r="B36" s="4" t="s">
        <v>13</v>
      </c>
      <c r="C36" s="4" t="s">
        <v>14</v>
      </c>
      <c r="D36" s="5" t="s">
        <v>15</v>
      </c>
      <c r="E36" s="5" t="s">
        <v>16</v>
      </c>
      <c r="F36" s="6" t="s">
        <v>17</v>
      </c>
      <c r="G36" s="6" t="s">
        <v>18</v>
      </c>
      <c r="H36" s="7" t="s">
        <v>19</v>
      </c>
      <c r="I36" s="7" t="s">
        <v>20</v>
      </c>
      <c r="J36" s="8" t="s">
        <v>21</v>
      </c>
      <c r="K36" s="8" t="s">
        <v>22</v>
      </c>
      <c r="L36" s="9" t="s">
        <v>23</v>
      </c>
      <c r="M36" s="10" t="s">
        <v>24</v>
      </c>
    </row>
    <row r="37">
      <c r="A37" s="3" t="s">
        <v>25</v>
      </c>
      <c r="B37" s="11">
        <v>0.027</v>
      </c>
      <c r="C37" s="11">
        <v>0.132</v>
      </c>
      <c r="D37" s="12">
        <v>0.019</v>
      </c>
      <c r="E37" s="12">
        <v>0.091</v>
      </c>
      <c r="F37" s="13">
        <v>0.066</v>
      </c>
      <c r="G37" s="13">
        <v>0.278</v>
      </c>
      <c r="H37" s="14">
        <v>0.031</v>
      </c>
      <c r="I37" s="14">
        <v>0.148</v>
      </c>
      <c r="J37" s="15">
        <v>0.022</v>
      </c>
      <c r="K37" s="15">
        <v>0.106</v>
      </c>
      <c r="L37" s="16">
        <f>AVERAGE(C37,E37,G37,I37,K37)</f>
        <v>0.151</v>
      </c>
      <c r="M37" s="17">
        <f>AVERAGE(B37,D37,F37,H37,J37,)</f>
        <v>0.0275</v>
      </c>
    </row>
    <row r="39">
      <c r="A39" s="3" t="s">
        <v>6</v>
      </c>
      <c r="B39" s="4" t="s">
        <v>13</v>
      </c>
      <c r="C39" s="4" t="s">
        <v>14</v>
      </c>
      <c r="D39" s="5" t="s">
        <v>15</v>
      </c>
      <c r="E39" s="5" t="s">
        <v>16</v>
      </c>
      <c r="F39" s="6" t="s">
        <v>17</v>
      </c>
      <c r="G39" s="6" t="s">
        <v>18</v>
      </c>
      <c r="H39" s="7" t="s">
        <v>19</v>
      </c>
      <c r="I39" s="7" t="s">
        <v>20</v>
      </c>
      <c r="J39" s="8" t="s">
        <v>21</v>
      </c>
      <c r="K39" s="8" t="s">
        <v>22</v>
      </c>
      <c r="L39" s="9" t="s">
        <v>26</v>
      </c>
      <c r="M39" s="10" t="s">
        <v>27</v>
      </c>
    </row>
    <row r="40">
      <c r="A40" s="3" t="s">
        <v>25</v>
      </c>
      <c r="B40" s="11">
        <v>0.029</v>
      </c>
      <c r="C40" s="11">
        <v>0.343</v>
      </c>
      <c r="D40" s="12">
        <v>0.02</v>
      </c>
      <c r="E40" s="12">
        <v>0.174</v>
      </c>
      <c r="F40" s="13">
        <v>0.061</v>
      </c>
      <c r="G40" s="13">
        <v>0.536</v>
      </c>
      <c r="H40" s="14">
        <v>0.033</v>
      </c>
      <c r="I40" s="14">
        <v>0.285</v>
      </c>
      <c r="J40" s="15">
        <v>0.023</v>
      </c>
      <c r="K40" s="15">
        <v>0.204</v>
      </c>
      <c r="L40" s="16">
        <f>AVERAGE(C40,E40,G40,I40,K40)</f>
        <v>0.3084</v>
      </c>
      <c r="M40" s="17">
        <f>AVERAGE(B40,D40,F40,H40,J40,)</f>
        <v>0.02766666667</v>
      </c>
    </row>
  </sheetData>
  <drawing r:id="rId1"/>
</worksheet>
</file>